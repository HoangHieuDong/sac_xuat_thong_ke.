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OS\Desktop\file bt\ki 2-2\xac suat thong ke\"/>
    </mc:Choice>
  </mc:AlternateContent>
  <xr:revisionPtr revIDLastSave="0" documentId="8_{12540D7F-A16A-4A88-B556-119592F64D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5" r:id="rId2"/>
    <sheet name="Sheet3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1" l="1"/>
  <c r="D28" i="1"/>
  <c r="C27" i="1"/>
  <c r="C26" i="1"/>
  <c r="B23" i="1"/>
  <c r="D27" i="1"/>
  <c r="D26" i="1"/>
  <c r="C25" i="1"/>
  <c r="D25" i="1"/>
  <c r="E17" i="1"/>
  <c r="E18" i="1"/>
  <c r="E19" i="1"/>
  <c r="E20" i="1"/>
  <c r="E16" i="1"/>
  <c r="D21" i="1"/>
  <c r="E21" i="1"/>
  <c r="D17" i="1"/>
  <c r="D18" i="1"/>
  <c r="D19" i="1"/>
  <c r="D20" i="1"/>
  <c r="D16" i="1"/>
  <c r="C21" i="1"/>
  <c r="C20" i="1"/>
  <c r="C19" i="1"/>
  <c r="C18" i="1"/>
  <c r="C17" i="1"/>
  <c r="C16" i="1"/>
  <c r="C12" i="1"/>
  <c r="C13" i="1" s="1"/>
  <c r="C11" i="1"/>
  <c r="C10" i="1"/>
  <c r="C9" i="1"/>
  <c r="C8" i="1"/>
  <c r="B40" i="5"/>
  <c r="B27" i="5"/>
  <c r="B39" i="5"/>
  <c r="B26" i="5"/>
  <c r="B38" i="5"/>
  <c r="B37" i="5"/>
  <c r="B36" i="5"/>
  <c r="B35" i="5"/>
  <c r="B25" i="5"/>
  <c r="B24" i="5"/>
  <c r="B23" i="5"/>
  <c r="B22" i="5"/>
  <c r="I15" i="6"/>
  <c r="I14" i="6"/>
  <c r="I12" i="6"/>
  <c r="I11" i="6"/>
  <c r="I9" i="6"/>
  <c r="I8" i="6"/>
  <c r="E15" i="6"/>
  <c r="C15" i="6"/>
  <c r="E10" i="6"/>
  <c r="E11" i="6"/>
  <c r="E12" i="6"/>
  <c r="E13" i="6"/>
  <c r="E14" i="6"/>
  <c r="E9" i="6"/>
  <c r="D10" i="6"/>
  <c r="D11" i="6"/>
  <c r="D15" i="6" s="1"/>
  <c r="D12" i="6"/>
  <c r="D13" i="6"/>
  <c r="D14" i="6"/>
  <c r="D9" i="6"/>
</calcChain>
</file>

<file path=xl/sharedStrings.xml><?xml version="1.0" encoding="utf-8"?>
<sst xmlns="http://schemas.openxmlformats.org/spreadsheetml/2006/main" count="99" uniqueCount="76">
  <si>
    <t>[50; 70)</t>
  </si>
  <si>
    <t>[90; 110)</t>
  </si>
  <si>
    <t>[70; 90)</t>
  </si>
  <si>
    <t>[110; 130)</t>
  </si>
  <si>
    <t>[130; 145]</t>
  </si>
  <si>
    <t>COUNTIFS(Phạm vi; "Đk1"; Phạm vi; "Đk2")</t>
  </si>
  <si>
    <t>xi</t>
  </si>
  <si>
    <t>ni</t>
  </si>
  <si>
    <t>tổng</t>
  </si>
  <si>
    <t>xi*ni</t>
  </si>
  <si>
    <t>(xi^2)*ni</t>
  </si>
  <si>
    <t>n</t>
  </si>
  <si>
    <t>A</t>
  </si>
  <si>
    <t>B</t>
  </si>
  <si>
    <t>Trung bình mẫu</t>
  </si>
  <si>
    <t>Phương sai mẫu</t>
  </si>
  <si>
    <t>Độ lệch chuẩn mẫu</t>
  </si>
  <si>
    <t>cách 2</t>
  </si>
  <si>
    <t>AVERAGE(phạm vi)</t>
  </si>
  <si>
    <t>VAR.S(phạm vi)</t>
  </si>
  <si>
    <t>STDEV.S(phạm vi)</t>
  </si>
  <si>
    <t>trung bình mẫu</t>
  </si>
  <si>
    <t>cỡ mẫu</t>
  </si>
  <si>
    <t>cận trên</t>
  </si>
  <si>
    <t>cận dưới</t>
  </si>
  <si>
    <t>CONFIDENCE.NORM(anpha; độ lệch chuẩn; cỡ mẫu)</t>
  </si>
  <si>
    <t xml:space="preserve">Trung bình mẫu </t>
  </si>
  <si>
    <t>phương sai mẫu</t>
  </si>
  <si>
    <t>VAR.S(pvi)</t>
  </si>
  <si>
    <t>độ lệch chuẩn mẫu</t>
  </si>
  <si>
    <t>STDEV.S(pvi)</t>
  </si>
  <si>
    <t xml:space="preserve">sai số </t>
  </si>
  <si>
    <t xml:space="preserve">cận trên </t>
  </si>
  <si>
    <t>tbm + sai số</t>
  </si>
  <si>
    <t>tbm - sai số</t>
  </si>
  <si>
    <t>tra giá trị tới hạn</t>
  </si>
  <si>
    <t>chuẩn</t>
  </si>
  <si>
    <t>NORM.S.INV(anpha)</t>
  </si>
  <si>
    <t>student</t>
  </si>
  <si>
    <t>T.INV(anpha; bậc tự do n - 1 )</t>
  </si>
  <si>
    <t>khi-bình phương</t>
  </si>
  <si>
    <t>CHISQ.INV(anpha; bậc tự do)</t>
  </si>
  <si>
    <t>COUNT(pvi)</t>
  </si>
  <si>
    <t>ước lượng cho phương sai</t>
  </si>
  <si>
    <t>giá trị tới hạn khi - bình phương</t>
  </si>
  <si>
    <t>X^2_(α/2; n-1)</t>
  </si>
  <si>
    <t>X^2_(1-α/2; n-1)</t>
  </si>
  <si>
    <t>((n-1)*psm)/(X^2_(α/2; n-1))</t>
  </si>
  <si>
    <t>((n-1)*psm)/(X^2_(1-α/2; n-1))</t>
  </si>
  <si>
    <t>Trung vị</t>
  </si>
  <si>
    <t>Mode</t>
  </si>
  <si>
    <t>sai số</t>
  </si>
  <si>
    <t>CONFIDENCE.T(anpha; độ lệch chuẩn; cỡ mẫu)</t>
  </si>
  <si>
    <t>dùng giá trị tới hạn chuẩn</t>
  </si>
  <si>
    <t>dùng giá trị tới hạn student</t>
  </si>
  <si>
    <t>TB</t>
  </si>
  <si>
    <t>psai</t>
  </si>
  <si>
    <t>ĐLC</t>
  </si>
  <si>
    <t>Tên</t>
  </si>
  <si>
    <t>Hàm công thức</t>
  </si>
  <si>
    <t>Ghi chú</t>
  </si>
  <si>
    <t>Bài 1: Lập bảng dạng khoảng</t>
  </si>
  <si>
    <t>Ví dụ: COUNTIFS(A1:J3; "&gt;=50"; A1:J3; "&lt;70")</t>
  </si>
  <si>
    <t>HƯỚNG DẪN</t>
  </si>
  <si>
    <t>MEDIAN</t>
  </si>
  <si>
    <t>MODE</t>
  </si>
  <si>
    <t>COUNTIF</t>
  </si>
  <si>
    <t>Bài 2:</t>
  </si>
  <si>
    <t>Bài 3:</t>
  </si>
  <si>
    <t>cách 1(nhập công thức)</t>
  </si>
  <si>
    <t>Hãy hoàn thiện bảng:</t>
  </si>
  <si>
    <t>Bài 1: Cho bộ dữ liệu</t>
  </si>
  <si>
    <t>Bài 2: Cho bộ dữ liệu</t>
  </si>
  <si>
    <t>Hoàn thiện bảng sau:</t>
  </si>
  <si>
    <t>Cho bộ dữ liệu</t>
  </si>
  <si>
    <t>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</si>
</sst>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2" x14ac:knownFonts="1">
    <font>
      <sz val="12"/>
      <color theme="1"/>
      <name val="Arial"/>
      <family val="2"/>
      <scheme val="minor"/>
    </font>
    <font>
      <sz val="20"/>
      <color theme="1"/>
      <name val="Times New Roman"/>
      <family val="1"/>
    </font>
    <font>
      <b/>
      <sz val="20"/>
      <color theme="1"/>
      <name val="Times New Roman"/>
      <family val="1"/>
    </font>
    <font>
      <sz val="20"/>
      <color theme="1"/>
      <name val="Arial"/>
      <family val="2"/>
      <scheme val="minor"/>
    </font>
    <font>
      <b/>
      <sz val="20"/>
      <color theme="1"/>
      <name val="Arial"/>
      <family val="2"/>
      <scheme val="minor"/>
    </font>
    <font>
      <sz val="20"/>
      <color rgb="FF000000"/>
      <name val="Times New Roman"/>
      <family val="1"/>
    </font>
    <font>
      <sz val="20"/>
      <color theme="1"/>
      <name val="Cambria Math"/>
      <family val="1"/>
    </font>
    <font>
      <sz val="11"/>
      <color rgb="FF000000"/>
      <name val="Arial"/>
      <family val="2"/>
    </font>
    <font>
      <sz val="12"/>
      <color rgb="FFFF0000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1"/>
      <color rgb="FF000000"/>
      <name val="Arial"/>
      <family val="2"/>
    </font>
    <font>
      <sz val="12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/>
    <xf numFmtId="0" fontId="3" fillId="0" borderId="0" xfId="0" applyFont="1"/>
    <xf numFmtId="0" fontId="5" fillId="0" borderId="2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5" fontId="0" fillId="0" borderId="0" xfId="0" applyNumberFormat="1"/>
    <xf numFmtId="0" fontId="0" fillId="0" borderId="1" xfId="0" applyBorder="1"/>
    <xf numFmtId="0" fontId="8" fillId="0" borderId="1" xfId="0" applyFont="1" applyBorder="1"/>
    <xf numFmtId="0" fontId="1" fillId="0" borderId="1" xfId="0" applyFont="1" applyBorder="1"/>
    <xf numFmtId="0" fontId="1" fillId="0" borderId="3" xfId="0" applyFont="1" applyBorder="1"/>
    <xf numFmtId="0" fontId="2" fillId="0" borderId="1" xfId="0" applyFont="1" applyBorder="1"/>
    <xf numFmtId="0" fontId="1" fillId="0" borderId="4" xfId="0" applyFont="1" applyBorder="1"/>
    <xf numFmtId="0" fontId="1" fillId="0" borderId="5" xfId="0" applyFont="1" applyBorder="1"/>
    <xf numFmtId="0" fontId="2" fillId="0" borderId="5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7" fillId="0" borderId="1" xfId="0" applyFont="1" applyBorder="1" applyAlignment="1">
      <alignment horizontal="justify" vertical="center" readingOrder="1"/>
    </xf>
    <xf numFmtId="0" fontId="7" fillId="0" borderId="0" xfId="0" applyFont="1" applyAlignment="1">
      <alignment horizontal="justify" vertical="center" readingOrder="1"/>
    </xf>
    <xf numFmtId="0" fontId="9" fillId="0" borderId="0" xfId="0" applyFont="1"/>
    <xf numFmtId="0" fontId="10" fillId="0" borderId="0" xfId="0" applyFont="1" applyAlignment="1">
      <alignment horizontal="justify" vertical="center" readingOrder="1"/>
    </xf>
    <xf numFmtId="164" fontId="11" fillId="0" borderId="1" xfId="0" applyNumberFormat="1" applyFont="1" applyBorder="1"/>
    <xf numFmtId="164" fontId="11" fillId="0" borderId="6" xfId="0" applyNumberFormat="1" applyFont="1" applyBorder="1"/>
    <xf numFmtId="164" fontId="11" fillId="0" borderId="7" xfId="0" applyNumberFormat="1" applyFont="1" applyBorder="1"/>
    <xf numFmtId="164" fontId="11" fillId="0" borderId="8" xfId="0" applyNumberFormat="1" applyFont="1" applyBorder="1"/>
    <xf numFmtId="0" fontId="3" fillId="0" borderId="1" xfId="0" applyFont="1" applyBorder="1"/>
    <xf numFmtId="0" fontId="6" fillId="0" borderId="1" xfId="0" applyFont="1" applyBorder="1"/>
    <xf numFmtId="0" fontId="4" fillId="0" borderId="0" xfId="0" applyFont="1"/>
    <xf numFmtId="164" fontId="0" fillId="0" borderId="1" xfId="0" applyNumberFormat="1" applyBorder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0"/>
  <sheetViews>
    <sheetView tabSelected="1" zoomScale="55" zoomScaleNormal="55" workbookViewId="0">
      <selection activeCell="C28" sqref="C28"/>
    </sheetView>
  </sheetViews>
  <sheetFormatPr defaultColWidth="10.81640625" defaultRowHeight="25.2" x14ac:dyDescent="0.45"/>
  <cols>
    <col min="1" max="1" width="10.81640625" style="1"/>
    <col min="2" max="2" width="30.1796875" style="1" customWidth="1"/>
    <col min="3" max="3" width="35.6328125" style="1" customWidth="1"/>
    <col min="4" max="4" width="17.1796875" style="1" customWidth="1"/>
    <col min="5" max="5" width="14.81640625" style="1" customWidth="1"/>
    <col min="6" max="12" width="10.81640625" style="1"/>
    <col min="13" max="13" width="10.36328125" style="17" customWidth="1"/>
    <col min="14" max="14" width="14.81640625" style="1" customWidth="1"/>
    <col min="15" max="15" width="10.81640625" style="1"/>
    <col min="16" max="16" width="25.1796875" style="1" customWidth="1"/>
    <col min="17" max="18" width="10.81640625" style="1"/>
    <col min="19" max="19" width="13" style="1" customWidth="1"/>
    <col min="20" max="16384" width="10.81640625" style="1"/>
  </cols>
  <sheetData>
    <row r="1" spans="1:26" x14ac:dyDescent="0.45">
      <c r="A1" s="14">
        <v>50</v>
      </c>
      <c r="B1" s="14">
        <v>70</v>
      </c>
      <c r="C1" s="14">
        <v>65</v>
      </c>
      <c r="D1" s="14">
        <v>80</v>
      </c>
      <c r="E1" s="14">
        <v>55</v>
      </c>
      <c r="F1" s="14">
        <v>95</v>
      </c>
      <c r="G1" s="14">
        <v>85</v>
      </c>
      <c r="H1" s="14">
        <v>60</v>
      </c>
      <c r="I1" s="14">
        <v>100</v>
      </c>
      <c r="J1" s="14">
        <v>75</v>
      </c>
      <c r="M1" s="18"/>
      <c r="P1" s="6" t="s">
        <v>63</v>
      </c>
    </row>
    <row r="2" spans="1:26" x14ac:dyDescent="0.45">
      <c r="A2" s="14">
        <v>110</v>
      </c>
      <c r="B2" s="14">
        <v>90</v>
      </c>
      <c r="C2" s="14">
        <v>65</v>
      </c>
      <c r="D2" s="14">
        <v>55</v>
      </c>
      <c r="E2" s="14">
        <v>120</v>
      </c>
      <c r="F2" s="14">
        <v>105</v>
      </c>
      <c r="G2" s="14">
        <v>130</v>
      </c>
      <c r="H2" s="14">
        <v>60</v>
      </c>
      <c r="I2" s="14">
        <v>140</v>
      </c>
      <c r="J2" s="14">
        <v>125</v>
      </c>
      <c r="M2" s="18"/>
    </row>
    <row r="3" spans="1:26" x14ac:dyDescent="0.45">
      <c r="A3" s="14">
        <v>115</v>
      </c>
      <c r="B3" s="14">
        <v>95</v>
      </c>
      <c r="C3" s="14">
        <v>70</v>
      </c>
      <c r="D3" s="14">
        <v>135</v>
      </c>
      <c r="E3" s="14">
        <v>80</v>
      </c>
      <c r="F3" s="14">
        <v>65</v>
      </c>
      <c r="G3" s="14">
        <v>145</v>
      </c>
      <c r="H3" s="14">
        <v>85</v>
      </c>
      <c r="I3" s="14">
        <v>90</v>
      </c>
      <c r="J3" s="14">
        <v>75</v>
      </c>
      <c r="M3" s="18"/>
    </row>
    <row r="4" spans="1:26" x14ac:dyDescent="0.45">
      <c r="M4" s="18"/>
    </row>
    <row r="5" spans="1:26" x14ac:dyDescent="0.45">
      <c r="A5" s="1" t="s">
        <v>61</v>
      </c>
      <c r="M5" s="18"/>
    </row>
    <row r="6" spans="1:26" x14ac:dyDescent="0.45">
      <c r="M6" s="18"/>
    </row>
    <row r="7" spans="1:26" x14ac:dyDescent="0.45">
      <c r="B7" s="16" t="s">
        <v>6</v>
      </c>
      <c r="C7" s="16" t="s">
        <v>7</v>
      </c>
      <c r="M7" s="18"/>
    </row>
    <row r="8" spans="1:26" x14ac:dyDescent="0.45">
      <c r="B8" s="14" t="s">
        <v>0</v>
      </c>
      <c r="C8" s="14">
        <f>COUNTIFS($A$1:$J$3,"&gt;=50",$A$1:$J$3,"&lt;70")</f>
        <v>8</v>
      </c>
      <c r="M8" s="18"/>
      <c r="N8" s="15" t="s">
        <v>5</v>
      </c>
      <c r="O8" s="14"/>
      <c r="P8" s="14"/>
      <c r="Q8" s="14"/>
      <c r="R8" s="14"/>
      <c r="S8" s="14"/>
      <c r="T8" s="14" t="s">
        <v>62</v>
      </c>
      <c r="U8" s="14"/>
      <c r="V8" s="14"/>
      <c r="W8" s="14"/>
      <c r="X8" s="14"/>
      <c r="Y8" s="14"/>
      <c r="Z8" s="18"/>
    </row>
    <row r="9" spans="1:26" x14ac:dyDescent="0.45">
      <c r="B9" s="14" t="s">
        <v>2</v>
      </c>
      <c r="C9" s="14">
        <f>COUNTIFS($A$1:$J$3,"&gt;=70",$A$1:$J$3,"&lt;90")</f>
        <v>8</v>
      </c>
      <c r="M9" s="18"/>
    </row>
    <row r="10" spans="1:26" x14ac:dyDescent="0.45">
      <c r="B10" s="14" t="s">
        <v>1</v>
      </c>
      <c r="C10" s="14">
        <f>COUNTIFS($A$1:$J$3,"&gt;=90",$A$1:$J$3,"&lt;110")</f>
        <v>6</v>
      </c>
      <c r="M10" s="18"/>
    </row>
    <row r="11" spans="1:26" x14ac:dyDescent="0.45">
      <c r="B11" s="14" t="s">
        <v>3</v>
      </c>
      <c r="C11" s="14">
        <f>COUNTIFS($A$1:$J$3,"&gt;=110",$A$1:$J$3,"&lt;130")</f>
        <v>4</v>
      </c>
      <c r="M11" s="18"/>
    </row>
    <row r="12" spans="1:26" x14ac:dyDescent="0.45">
      <c r="B12" s="14" t="s">
        <v>4</v>
      </c>
      <c r="C12" s="14">
        <f>COUNTIFS($A$1:$J$3,"&gt;=130",$A$1:$J$3,"&lt;=145")</f>
        <v>4</v>
      </c>
      <c r="M12" s="18"/>
    </row>
    <row r="13" spans="1:26" x14ac:dyDescent="0.45">
      <c r="C13" s="1">
        <f>SUM(C8:C12)</f>
        <v>30</v>
      </c>
      <c r="M13" s="18"/>
    </row>
    <row r="14" spans="1:26" x14ac:dyDescent="0.45">
      <c r="A14" s="1" t="s">
        <v>67</v>
      </c>
      <c r="M14" s="18"/>
    </row>
    <row r="15" spans="1:26" s="3" customFormat="1" ht="24.6" x14ac:dyDescent="0.4">
      <c r="B15" s="4" t="s">
        <v>6</v>
      </c>
      <c r="C15" s="4" t="s">
        <v>7</v>
      </c>
      <c r="D15" s="4" t="s">
        <v>9</v>
      </c>
      <c r="E15" s="4" t="s">
        <v>10</v>
      </c>
      <c r="M15" s="19"/>
    </row>
    <row r="16" spans="1:26" s="2" customFormat="1" x14ac:dyDescent="0.45">
      <c r="B16" s="5">
        <v>60</v>
      </c>
      <c r="C16" s="5">
        <f>COUNTIF($A$1:$J$3,60)</f>
        <v>2</v>
      </c>
      <c r="D16" s="5">
        <f>B16*C16</f>
        <v>120</v>
      </c>
      <c r="E16" s="5">
        <f>(B16^2)*C16</f>
        <v>7200</v>
      </c>
      <c r="M16" s="20"/>
      <c r="N16" s="2" t="s">
        <v>66</v>
      </c>
    </row>
    <row r="17" spans="1:14" s="2" customFormat="1" x14ac:dyDescent="0.45">
      <c r="B17" s="5">
        <v>80</v>
      </c>
      <c r="C17" s="5">
        <f>COUNTIF($A$1:$J$3,80)</f>
        <v>2</v>
      </c>
      <c r="D17" s="5">
        <f t="shared" ref="D17:D20" si="0">B17*C17</f>
        <v>160</v>
      </c>
      <c r="E17" s="5">
        <f t="shared" ref="E17:E20" si="1">(B17^2)*C17</f>
        <v>12800</v>
      </c>
      <c r="M17" s="20"/>
    </row>
    <row r="18" spans="1:14" s="2" customFormat="1" x14ac:dyDescent="0.45">
      <c r="B18" s="5">
        <v>100</v>
      </c>
      <c r="C18" s="5">
        <f>COUNTIF($A$1:$J$3,100)</f>
        <v>1</v>
      </c>
      <c r="D18" s="5">
        <f t="shared" si="0"/>
        <v>100</v>
      </c>
      <c r="E18" s="5">
        <f t="shared" si="1"/>
        <v>10000</v>
      </c>
      <c r="M18" s="20"/>
    </row>
    <row r="19" spans="1:14" s="2" customFormat="1" x14ac:dyDescent="0.45">
      <c r="B19" s="5">
        <v>120</v>
      </c>
      <c r="C19" s="5">
        <f>COUNTIF($A$1:$J$3,120)</f>
        <v>1</v>
      </c>
      <c r="D19" s="5">
        <f t="shared" si="0"/>
        <v>120</v>
      </c>
      <c r="E19" s="5">
        <f t="shared" si="1"/>
        <v>14400</v>
      </c>
      <c r="M19" s="20"/>
    </row>
    <row r="20" spans="1:14" s="2" customFormat="1" x14ac:dyDescent="0.45">
      <c r="B20" s="5">
        <v>137.5</v>
      </c>
      <c r="C20" s="5">
        <f>COUNTIF($A$1:$J$3,137.5)</f>
        <v>0</v>
      </c>
      <c r="D20" s="5">
        <f t="shared" si="0"/>
        <v>0</v>
      </c>
      <c r="E20" s="5">
        <f t="shared" si="1"/>
        <v>0</v>
      </c>
      <c r="M20" s="20"/>
    </row>
    <row r="21" spans="1:14" s="3" customFormat="1" x14ac:dyDescent="0.45">
      <c r="B21" s="4" t="s">
        <v>8</v>
      </c>
      <c r="C21" s="5">
        <f>SUM(C16:C20)</f>
        <v>6</v>
      </c>
      <c r="D21" s="5">
        <f t="shared" ref="D21:E21" si="2">SUM(D16:D20)</f>
        <v>500</v>
      </c>
      <c r="E21" s="5">
        <f t="shared" si="2"/>
        <v>44400</v>
      </c>
      <c r="M21" s="19"/>
    </row>
    <row r="22" spans="1:14" x14ac:dyDescent="0.45">
      <c r="C22" s="2" t="s">
        <v>11</v>
      </c>
      <c r="D22" s="2" t="s">
        <v>12</v>
      </c>
      <c r="E22" s="2" t="s">
        <v>13</v>
      </c>
      <c r="M22" s="18"/>
    </row>
    <row r="23" spans="1:14" x14ac:dyDescent="0.45">
      <c r="A23" s="1" t="s">
        <v>68</v>
      </c>
      <c r="B23" s="1">
        <f>SUM(A1:J3)</f>
        <v>2690</v>
      </c>
      <c r="C23" s="2"/>
      <c r="D23" s="2"/>
      <c r="E23" s="2"/>
      <c r="M23" s="18"/>
    </row>
    <row r="24" spans="1:14" x14ac:dyDescent="0.45">
      <c r="C24" s="6" t="s">
        <v>69</v>
      </c>
      <c r="D24" s="6" t="s">
        <v>17</v>
      </c>
      <c r="M24" s="18"/>
    </row>
    <row r="25" spans="1:14" x14ac:dyDescent="0.45">
      <c r="B25" s="14" t="s">
        <v>14</v>
      </c>
      <c r="C25" s="14">
        <f>SUM(A1:J3)/COUNT(A1:J3)</f>
        <v>89.666666666666671</v>
      </c>
      <c r="D25" s="14">
        <f>AVERAGE(A1:J3)</f>
        <v>89.666666666666671</v>
      </c>
      <c r="M25" s="18"/>
      <c r="N25" s="1" t="s">
        <v>18</v>
      </c>
    </row>
    <row r="26" spans="1:14" x14ac:dyDescent="0.45">
      <c r="B26" s="14" t="s">
        <v>15</v>
      </c>
      <c r="C26" s="14">
        <f>(SUMSQ(A1:J3)-30*AVERAGE(A1:J3)^2)/(30-1)</f>
        <v>755.05747126436643</v>
      </c>
      <c r="D26" s="14">
        <f>_xlfn.VAR.S(A1:J3)</f>
        <v>755.05747126436745</v>
      </c>
      <c r="M26" s="18"/>
      <c r="N26" s="1" t="s">
        <v>19</v>
      </c>
    </row>
    <row r="27" spans="1:14" x14ac:dyDescent="0.45">
      <c r="B27" s="14" t="s">
        <v>16</v>
      </c>
      <c r="C27" s="14">
        <f>SQRT(C26)</f>
        <v>27.478309104898837</v>
      </c>
      <c r="D27" s="14">
        <f>_xlfn.STDEV.S(A1:J3)</f>
        <v>27.478309104898859</v>
      </c>
      <c r="M27" s="18"/>
      <c r="N27" s="1" t="s">
        <v>20</v>
      </c>
    </row>
    <row r="28" spans="1:14" x14ac:dyDescent="0.45">
      <c r="B28" s="14" t="s">
        <v>49</v>
      </c>
      <c r="C28" s="14"/>
      <c r="D28" s="14">
        <f>MEDIAN(A1:J3)</f>
        <v>85</v>
      </c>
      <c r="M28" s="18"/>
      <c r="N28" s="1" t="s">
        <v>64</v>
      </c>
    </row>
    <row r="29" spans="1:14" x14ac:dyDescent="0.45">
      <c r="B29" s="14" t="s">
        <v>50</v>
      </c>
      <c r="C29" s="14"/>
      <c r="D29" s="14">
        <f>MODE(A1:J3)</f>
        <v>65</v>
      </c>
      <c r="M29" s="18"/>
      <c r="N29" s="1" t="s">
        <v>65</v>
      </c>
    </row>
    <row r="30" spans="1:14" x14ac:dyDescent="0.45">
      <c r="M30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L42"/>
  <sheetViews>
    <sheetView topLeftCell="A13" zoomScale="85" zoomScaleNormal="85" workbookViewId="0">
      <selection activeCell="B40" sqref="B40"/>
    </sheetView>
  </sheetViews>
  <sheetFormatPr defaultColWidth="11" defaultRowHeight="15" x14ac:dyDescent="0.25"/>
  <cols>
    <col min="1" max="1" width="20" customWidth="1"/>
    <col min="2" max="2" width="15.36328125" customWidth="1"/>
    <col min="3" max="3" width="43.6328125" customWidth="1"/>
    <col min="4" max="4" width="24.1796875" customWidth="1"/>
  </cols>
  <sheetData>
    <row r="2" spans="1:5" x14ac:dyDescent="0.25">
      <c r="A2" s="13" t="s">
        <v>58</v>
      </c>
      <c r="B2" s="13"/>
      <c r="C2" s="13" t="s">
        <v>59</v>
      </c>
      <c r="D2" s="13" t="s">
        <v>60</v>
      </c>
      <c r="E2" s="13"/>
    </row>
    <row r="3" spans="1:5" x14ac:dyDescent="0.25">
      <c r="A3" s="12" t="s">
        <v>22</v>
      </c>
      <c r="B3" s="12"/>
      <c r="C3" s="12" t="s">
        <v>42</v>
      </c>
      <c r="D3" s="12"/>
      <c r="E3" s="12"/>
    </row>
    <row r="4" spans="1:5" x14ac:dyDescent="0.25">
      <c r="A4" s="12" t="s">
        <v>26</v>
      </c>
      <c r="B4" s="12"/>
      <c r="C4" s="12" t="s">
        <v>18</v>
      </c>
      <c r="D4" s="12"/>
      <c r="E4" s="12"/>
    </row>
    <row r="5" spans="1:5" x14ac:dyDescent="0.25">
      <c r="A5" s="12" t="s">
        <v>27</v>
      </c>
      <c r="B5" s="12"/>
      <c r="C5" s="12" t="s">
        <v>28</v>
      </c>
      <c r="D5" s="12"/>
      <c r="E5" s="12"/>
    </row>
    <row r="6" spans="1:5" x14ac:dyDescent="0.25">
      <c r="A6" s="12" t="s">
        <v>29</v>
      </c>
      <c r="B6" s="12"/>
      <c r="C6" s="12" t="s">
        <v>30</v>
      </c>
      <c r="D6" s="12"/>
      <c r="E6" s="12"/>
    </row>
    <row r="7" spans="1:5" x14ac:dyDescent="0.25">
      <c r="A7" s="12"/>
      <c r="B7" s="12"/>
      <c r="C7" s="12"/>
      <c r="D7" s="12"/>
      <c r="E7" s="12"/>
    </row>
    <row r="8" spans="1:5" x14ac:dyDescent="0.25">
      <c r="A8" s="12" t="s">
        <v>31</v>
      </c>
      <c r="B8" s="12"/>
      <c r="C8" s="12" t="s">
        <v>25</v>
      </c>
      <c r="D8" s="12" t="s">
        <v>53</v>
      </c>
      <c r="E8" s="12"/>
    </row>
    <row r="9" spans="1:5" x14ac:dyDescent="0.25">
      <c r="A9" s="12"/>
      <c r="B9" s="12"/>
      <c r="C9" s="12" t="s">
        <v>52</v>
      </c>
      <c r="D9" s="12" t="s">
        <v>54</v>
      </c>
      <c r="E9" s="12"/>
    </row>
    <row r="10" spans="1:5" x14ac:dyDescent="0.25">
      <c r="A10" s="12"/>
      <c r="B10" s="12"/>
      <c r="C10" s="12"/>
      <c r="D10" s="12"/>
      <c r="E10" s="12"/>
    </row>
    <row r="11" spans="1:5" x14ac:dyDescent="0.25">
      <c r="A11" s="12" t="s">
        <v>32</v>
      </c>
      <c r="B11" s="12"/>
      <c r="C11" s="12" t="s">
        <v>33</v>
      </c>
      <c r="D11" s="12"/>
      <c r="E11" s="12"/>
    </row>
    <row r="12" spans="1:5" x14ac:dyDescent="0.25">
      <c r="A12" s="12" t="s">
        <v>24</v>
      </c>
      <c r="B12" s="12"/>
      <c r="C12" s="12" t="s">
        <v>34</v>
      </c>
      <c r="D12" s="12"/>
      <c r="E12" s="12"/>
    </row>
    <row r="13" spans="1:5" x14ac:dyDescent="0.25">
      <c r="A13" s="12"/>
      <c r="B13" s="12"/>
      <c r="C13" s="12"/>
      <c r="D13" s="12"/>
      <c r="E13" s="12"/>
    </row>
    <row r="14" spans="1:5" x14ac:dyDescent="0.25">
      <c r="A14" s="12" t="s">
        <v>35</v>
      </c>
      <c r="B14" s="12" t="s">
        <v>36</v>
      </c>
      <c r="C14" s="12" t="s">
        <v>37</v>
      </c>
      <c r="D14" s="12"/>
      <c r="E14" s="12"/>
    </row>
    <row r="15" spans="1:5" x14ac:dyDescent="0.25">
      <c r="A15" s="12"/>
      <c r="B15" s="12" t="s">
        <v>38</v>
      </c>
      <c r="C15" s="12" t="s">
        <v>39</v>
      </c>
      <c r="D15" s="12"/>
      <c r="E15" s="12"/>
    </row>
    <row r="16" spans="1:5" x14ac:dyDescent="0.25">
      <c r="A16" s="12"/>
      <c r="B16" s="12" t="s">
        <v>40</v>
      </c>
      <c r="C16" s="12" t="s">
        <v>41</v>
      </c>
      <c r="D16" s="12"/>
      <c r="E16" s="12"/>
    </row>
    <row r="17" spans="1:12" ht="15.6" x14ac:dyDescent="0.3">
      <c r="A17" s="23" t="s">
        <v>71</v>
      </c>
    </row>
    <row r="18" spans="1:12" x14ac:dyDescent="0.25">
      <c r="A18" s="21">
        <v>177</v>
      </c>
      <c r="B18" s="21">
        <v>165</v>
      </c>
      <c r="C18" s="21">
        <v>152</v>
      </c>
      <c r="D18" s="21">
        <v>174</v>
      </c>
      <c r="E18" s="21">
        <v>159</v>
      </c>
      <c r="F18" s="21">
        <v>166</v>
      </c>
      <c r="G18" s="21">
        <v>160</v>
      </c>
      <c r="H18" s="21">
        <v>152</v>
      </c>
      <c r="I18" s="21">
        <v>162</v>
      </c>
      <c r="J18" s="21">
        <v>175</v>
      </c>
      <c r="K18" s="21">
        <v>158</v>
      </c>
      <c r="L18" s="21">
        <v>169</v>
      </c>
    </row>
    <row r="19" spans="1:12" x14ac:dyDescent="0.25">
      <c r="A19" s="21">
        <v>166</v>
      </c>
      <c r="B19" s="21">
        <v>162</v>
      </c>
      <c r="C19" s="21">
        <v>181</v>
      </c>
      <c r="D19" s="21">
        <v>168</v>
      </c>
      <c r="E19" s="21">
        <v>170</v>
      </c>
      <c r="F19" s="21">
        <v>150</v>
      </c>
      <c r="G19" s="21">
        <v>173</v>
      </c>
      <c r="H19" s="21">
        <v>164</v>
      </c>
      <c r="I19" s="21">
        <v>167</v>
      </c>
      <c r="J19" s="21">
        <v>177</v>
      </c>
      <c r="K19" s="21">
        <v>167</v>
      </c>
      <c r="L19" s="21">
        <v>175</v>
      </c>
    </row>
    <row r="20" spans="1:12" x14ac:dyDescent="0.25">
      <c r="A20" s="21">
        <v>165</v>
      </c>
      <c r="B20" s="21">
        <v>182</v>
      </c>
      <c r="C20" s="21">
        <v>166</v>
      </c>
      <c r="D20" s="21">
        <v>158</v>
      </c>
      <c r="E20" s="21">
        <v>166</v>
      </c>
      <c r="F20" s="21">
        <v>170</v>
      </c>
      <c r="G20" s="21">
        <v>168</v>
      </c>
      <c r="H20" s="21">
        <v>165</v>
      </c>
      <c r="I20" s="21">
        <v>160</v>
      </c>
      <c r="J20" s="21">
        <v>160</v>
      </c>
      <c r="K20" s="21">
        <v>169</v>
      </c>
      <c r="L20" s="21">
        <v>166</v>
      </c>
    </row>
    <row r="21" spans="1:12" x14ac:dyDescent="0.25">
      <c r="A21" s="24" t="s">
        <v>70</v>
      </c>
      <c r="B21" s="22" t="s">
        <v>75</v>
      </c>
      <c r="C21" s="22">
        <v>0.05</v>
      </c>
      <c r="D21" s="22"/>
      <c r="E21" s="22"/>
      <c r="F21" s="22"/>
      <c r="G21" s="22"/>
      <c r="H21" s="22"/>
      <c r="I21" s="22"/>
      <c r="J21" s="22"/>
      <c r="K21" s="22"/>
      <c r="L21" s="22"/>
    </row>
    <row r="22" spans="1:12" x14ac:dyDescent="0.25">
      <c r="A22" s="12" t="s">
        <v>55</v>
      </c>
      <c r="B22" s="12">
        <f>AVERAGE(A18:L20)</f>
        <v>166.22222222222223</v>
      </c>
    </row>
    <row r="23" spans="1:12" x14ac:dyDescent="0.25">
      <c r="A23" s="12" t="s">
        <v>56</v>
      </c>
      <c r="B23" s="12">
        <f>_xlfn.VAR.S(A18:L20)</f>
        <v>57.949206349206349</v>
      </c>
    </row>
    <row r="24" spans="1:12" x14ac:dyDescent="0.25">
      <c r="A24" s="12" t="s">
        <v>57</v>
      </c>
      <c r="B24" s="12">
        <f>_xlfn.STDEV.S(A18:L20)</f>
        <v>7.6124376088875989</v>
      </c>
    </row>
    <row r="25" spans="1:12" x14ac:dyDescent="0.25">
      <c r="A25" s="12" t="s">
        <v>22</v>
      </c>
      <c r="B25" s="12">
        <f>COUNT(A18:L20)</f>
        <v>36</v>
      </c>
    </row>
    <row r="26" spans="1:12" x14ac:dyDescent="0.25">
      <c r="A26" s="12" t="s">
        <v>51</v>
      </c>
      <c r="B26" s="12">
        <f>_xlfn.CONFIDENCE.NORM(C21,B24,B25)</f>
        <v>2.4866839246629828</v>
      </c>
    </row>
    <row r="27" spans="1:12" x14ac:dyDescent="0.25">
      <c r="A27" s="12" t="s">
        <v>23</v>
      </c>
      <c r="B27" s="12">
        <f>_xlfn.CONFIDENCE.T(C21,B24,B25)</f>
        <v>2.5756783238523004</v>
      </c>
    </row>
    <row r="28" spans="1:12" ht="15.6" x14ac:dyDescent="0.3">
      <c r="A28" s="23" t="s">
        <v>72</v>
      </c>
    </row>
    <row r="29" spans="1:12" x14ac:dyDescent="0.25">
      <c r="A29" s="25">
        <v>84.4</v>
      </c>
      <c r="B29" s="26">
        <v>73.5</v>
      </c>
      <c r="C29" s="26">
        <v>84.5</v>
      </c>
      <c r="D29" s="26">
        <v>93.5</v>
      </c>
      <c r="E29" s="26">
        <v>75.2</v>
      </c>
    </row>
    <row r="30" spans="1:12" x14ac:dyDescent="0.25">
      <c r="A30" s="27">
        <v>66.8</v>
      </c>
      <c r="B30" s="28">
        <v>57.7</v>
      </c>
      <c r="C30" s="28">
        <v>79.400000000000006</v>
      </c>
      <c r="D30" s="28">
        <v>91</v>
      </c>
      <c r="E30" s="28">
        <v>129</v>
      </c>
    </row>
    <row r="31" spans="1:12" x14ac:dyDescent="0.25">
      <c r="A31" s="27">
        <v>95.2</v>
      </c>
      <c r="B31" s="28">
        <v>88.3</v>
      </c>
      <c r="C31" s="28">
        <v>28.4</v>
      </c>
      <c r="D31" s="28">
        <v>77</v>
      </c>
      <c r="E31" s="28">
        <v>81.2</v>
      </c>
    </row>
    <row r="32" spans="1:12" x14ac:dyDescent="0.25">
      <c r="A32" s="27">
        <v>101</v>
      </c>
      <c r="B32" s="28">
        <v>77.7</v>
      </c>
      <c r="C32" s="28">
        <v>90</v>
      </c>
      <c r="D32" s="28">
        <v>92.9</v>
      </c>
      <c r="E32" s="28">
        <v>80.8</v>
      </c>
    </row>
    <row r="33" spans="1:5" x14ac:dyDescent="0.25">
      <c r="A33" s="27">
        <v>80.3</v>
      </c>
      <c r="B33" s="28">
        <v>88</v>
      </c>
      <c r="C33" s="28">
        <v>61.1</v>
      </c>
      <c r="D33" s="28">
        <v>63.8</v>
      </c>
      <c r="E33" s="28">
        <v>101</v>
      </c>
    </row>
    <row r="34" spans="1:5" x14ac:dyDescent="0.25">
      <c r="A34" s="24" t="s">
        <v>70</v>
      </c>
      <c r="B34" s="22"/>
    </row>
    <row r="35" spans="1:5" x14ac:dyDescent="0.25">
      <c r="A35" s="12" t="s">
        <v>55</v>
      </c>
      <c r="B35" s="32">
        <f>AVERAGE(A29:E33)</f>
        <v>81.668000000000006</v>
      </c>
    </row>
    <row r="36" spans="1:5" x14ac:dyDescent="0.25">
      <c r="A36" s="12" t="s">
        <v>56</v>
      </c>
      <c r="B36" s="12">
        <f>_xlfn.VAR.S(A29:E33)</f>
        <v>342.60393333333315</v>
      </c>
    </row>
    <row r="37" spans="1:5" x14ac:dyDescent="0.25">
      <c r="A37" s="12" t="s">
        <v>57</v>
      </c>
      <c r="B37" s="12">
        <f>_xlfn.STDEV.P(A29:E33)</f>
        <v>18.135594172786284</v>
      </c>
    </row>
    <row r="38" spans="1:5" x14ac:dyDescent="0.25">
      <c r="A38" s="12" t="s">
        <v>22</v>
      </c>
      <c r="B38" s="12">
        <f>COUNT(A29:E33)</f>
        <v>25</v>
      </c>
    </row>
    <row r="39" spans="1:5" x14ac:dyDescent="0.25">
      <c r="A39" s="12" t="s">
        <v>51</v>
      </c>
      <c r="B39" s="12">
        <f>_xlfn.CONFIDENCE.NORM(C21,B37,B38)</f>
        <v>7.109022283379117</v>
      </c>
    </row>
    <row r="40" spans="1:5" x14ac:dyDescent="0.25">
      <c r="A40" s="12" t="s">
        <v>23</v>
      </c>
      <c r="B40" s="12">
        <f>_xlfn.CONFIDENCE.T(C21,B37,B38)</f>
        <v>7.4860053454966424</v>
      </c>
    </row>
    <row r="42" spans="1:5" x14ac:dyDescent="0.25">
      <c r="A42" s="11"/>
      <c r="B42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J16"/>
  <sheetViews>
    <sheetView zoomScale="70" zoomScaleNormal="70" workbookViewId="0">
      <selection activeCell="I7" sqref="I7"/>
    </sheetView>
  </sheetViews>
  <sheetFormatPr defaultColWidth="10.81640625" defaultRowHeight="24.6" x14ac:dyDescent="0.4"/>
  <cols>
    <col min="1" max="4" width="10.81640625" style="7"/>
    <col min="5" max="5" width="15.6328125" style="7" customWidth="1"/>
    <col min="6" max="7" width="10.81640625" style="7"/>
    <col min="8" max="8" width="44.81640625" style="7" customWidth="1"/>
    <col min="9" max="9" width="13.36328125" style="7" bestFit="1" customWidth="1"/>
    <col min="10" max="10" width="41.81640625" style="7" customWidth="1"/>
    <col min="11" max="16384" width="10.81640625" style="7"/>
  </cols>
  <sheetData>
    <row r="2" spans="1:10" x14ac:dyDescent="0.4">
      <c r="A2" s="7" t="s">
        <v>74</v>
      </c>
    </row>
    <row r="3" spans="1:10" ht="25.2" thickBot="1" x14ac:dyDescent="0.45"/>
    <row r="4" spans="1:10" ht="25.8" thickBot="1" x14ac:dyDescent="0.45">
      <c r="A4" s="8">
        <v>11.5</v>
      </c>
      <c r="B4" s="8">
        <v>11.6</v>
      </c>
      <c r="C4" s="8">
        <v>11.7</v>
      </c>
      <c r="D4" s="8">
        <v>11.8</v>
      </c>
      <c r="E4" s="8">
        <v>11.9</v>
      </c>
      <c r="F4" s="8">
        <v>12</v>
      </c>
    </row>
    <row r="5" spans="1:10" ht="25.8" thickBot="1" x14ac:dyDescent="0.45">
      <c r="A5" s="8">
        <v>5</v>
      </c>
      <c r="B5" s="8">
        <v>8</v>
      </c>
      <c r="C5" s="8">
        <v>4</v>
      </c>
      <c r="D5" s="8">
        <v>6</v>
      </c>
      <c r="E5" s="8">
        <v>4</v>
      </c>
      <c r="F5" s="8">
        <v>3</v>
      </c>
    </row>
    <row r="7" spans="1:10" x14ac:dyDescent="0.4">
      <c r="A7" s="31" t="s">
        <v>73</v>
      </c>
      <c r="H7" s="7" t="s">
        <v>75</v>
      </c>
      <c r="I7" s="7">
        <v>0.05</v>
      </c>
    </row>
    <row r="8" spans="1:10" x14ac:dyDescent="0.4">
      <c r="B8" s="9" t="s">
        <v>6</v>
      </c>
      <c r="C8" s="9" t="s">
        <v>7</v>
      </c>
      <c r="D8" s="9" t="s">
        <v>9</v>
      </c>
      <c r="E8" s="9" t="s">
        <v>10</v>
      </c>
      <c r="H8" s="29" t="s">
        <v>21</v>
      </c>
      <c r="I8" s="29">
        <f>D15/C15</f>
        <v>11.716666666666669</v>
      </c>
    </row>
    <row r="9" spans="1:10" x14ac:dyDescent="0.4">
      <c r="B9" s="10">
        <v>11.5</v>
      </c>
      <c r="C9" s="10">
        <v>5</v>
      </c>
      <c r="D9" s="10">
        <f>B9*C9</f>
        <v>57.5</v>
      </c>
      <c r="E9" s="10">
        <f>B9*B9*C9</f>
        <v>661.25</v>
      </c>
      <c r="H9" s="29" t="s">
        <v>27</v>
      </c>
      <c r="I9" s="29">
        <f>(1/(C15-1))*(E15 - C15*( (I8)^2 ))</f>
        <v>2.6264367816048465E-2</v>
      </c>
    </row>
    <row r="10" spans="1:10" x14ac:dyDescent="0.4">
      <c r="B10" s="10">
        <v>11.6</v>
      </c>
      <c r="C10" s="10">
        <v>8</v>
      </c>
      <c r="D10" s="10">
        <f t="shared" ref="D10:D14" si="0">B10*C10</f>
        <v>92.8</v>
      </c>
      <c r="E10" s="10">
        <f t="shared" ref="E10:E14" si="1">B10*B10*C10</f>
        <v>1076.48</v>
      </c>
      <c r="H10" s="29" t="s">
        <v>44</v>
      </c>
      <c r="I10" s="29"/>
    </row>
    <row r="11" spans="1:10" ht="153" x14ac:dyDescent="7.6">
      <c r="B11" s="10">
        <v>11.7</v>
      </c>
      <c r="C11" s="10">
        <v>4</v>
      </c>
      <c r="D11" s="10">
        <f t="shared" si="0"/>
        <v>46.8</v>
      </c>
      <c r="E11" s="10">
        <f t="shared" si="1"/>
        <v>547.55999999999995</v>
      </c>
      <c r="H11" s="30" t="s">
        <v>45</v>
      </c>
      <c r="I11" s="29">
        <f>_xlfn.CHISQ.INV.RT(I7/2, C15-1)</f>
        <v>45.722285804174533</v>
      </c>
    </row>
    <row r="12" spans="1:10" ht="153" x14ac:dyDescent="7.6">
      <c r="B12" s="10">
        <v>11.8</v>
      </c>
      <c r="C12" s="10">
        <v>6</v>
      </c>
      <c r="D12" s="10">
        <f t="shared" si="0"/>
        <v>70.800000000000011</v>
      </c>
      <c r="E12" s="10">
        <f t="shared" si="1"/>
        <v>835.44</v>
      </c>
      <c r="H12" s="30" t="s">
        <v>46</v>
      </c>
      <c r="I12" s="29">
        <f>_xlfn.CHISQ.INV.RT(1-I7/2, C15-1)</f>
        <v>16.047071695364892</v>
      </c>
    </row>
    <row r="13" spans="1:10" x14ac:dyDescent="0.4">
      <c r="B13" s="10">
        <v>11.9</v>
      </c>
      <c r="C13" s="10">
        <v>4</v>
      </c>
      <c r="D13" s="10">
        <f t="shared" si="0"/>
        <v>47.6</v>
      </c>
      <c r="E13" s="10">
        <f t="shared" si="1"/>
        <v>566.44000000000005</v>
      </c>
      <c r="H13" s="29" t="s">
        <v>43</v>
      </c>
      <c r="I13" s="29"/>
    </row>
    <row r="14" spans="1:10" x14ac:dyDescent="0.4">
      <c r="B14" s="10">
        <v>12</v>
      </c>
      <c r="C14" s="10">
        <v>3</v>
      </c>
      <c r="D14" s="10">
        <f t="shared" si="0"/>
        <v>36</v>
      </c>
      <c r="E14" s="10">
        <f t="shared" si="1"/>
        <v>432</v>
      </c>
      <c r="H14" s="29" t="s">
        <v>23</v>
      </c>
      <c r="I14" s="29">
        <f>(($C$15-1)*$I$9)/(I11)</f>
        <v>1.6658543055515038E-2</v>
      </c>
      <c r="J14" s="7" t="s">
        <v>47</v>
      </c>
    </row>
    <row r="15" spans="1:10" x14ac:dyDescent="0.4">
      <c r="B15" s="9" t="s">
        <v>8</v>
      </c>
      <c r="C15" s="9">
        <f>SUM(C9:C14)</f>
        <v>30</v>
      </c>
      <c r="D15" s="9">
        <f t="shared" ref="D15:E15" si="2">SUM(D9:D14)</f>
        <v>351.50000000000006</v>
      </c>
      <c r="E15" s="9">
        <f t="shared" si="2"/>
        <v>4119.17</v>
      </c>
      <c r="H15" s="29" t="s">
        <v>24</v>
      </c>
      <c r="I15" s="29">
        <f>(($C$15-1)*$I$9)/(I12)</f>
        <v>4.7464526932063794E-2</v>
      </c>
      <c r="J15" s="7" t="s">
        <v>48</v>
      </c>
    </row>
    <row r="16" spans="1:10" x14ac:dyDescent="0.4">
      <c r="C16" s="7" t="s">
        <v>11</v>
      </c>
      <c r="D16" s="7" t="s">
        <v>12</v>
      </c>
      <c r="E16" s="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Trà Mi</dc:creator>
  <cp:lastModifiedBy>1871020253 Nguyễn Việt Hoàng</cp:lastModifiedBy>
  <dcterms:created xsi:type="dcterms:W3CDTF">2025-01-04T07:27:39Z</dcterms:created>
  <dcterms:modified xsi:type="dcterms:W3CDTF">2026-01-14T10:24:52Z</dcterms:modified>
</cp:coreProperties>
</file>