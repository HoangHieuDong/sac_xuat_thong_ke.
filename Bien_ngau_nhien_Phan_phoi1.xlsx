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New folder (3)\"/>
    </mc:Choice>
  </mc:AlternateContent>
  <bookViews>
    <workbookView xWindow="360" yWindow="12" windowWidth="20952" windowHeight="9720"/>
  </bookViews>
  <sheets>
    <sheet name="Phan phoi X" sheetId="1" r:id="rId1"/>
  </sheets>
  <calcPr calcId="162913"/>
</workbook>
</file>

<file path=xl/calcChain.xml><?xml version="1.0" encoding="utf-8"?>
<calcChain xmlns="http://schemas.openxmlformats.org/spreadsheetml/2006/main">
  <c r="G5" i="1" l="1"/>
  <c r="C16" i="1"/>
  <c r="C15" i="1"/>
  <c r="C14" i="1"/>
  <c r="C13" i="1"/>
  <c r="C12" i="1"/>
  <c r="C11" i="1"/>
  <c r="C10" i="1"/>
  <c r="C9" i="1"/>
  <c r="C8" i="1"/>
  <c r="C7" i="1"/>
  <c r="G6" i="1"/>
  <c r="C6" i="1"/>
  <c r="C5" i="1"/>
  <c r="C4" i="1"/>
  <c r="C3" i="1"/>
  <c r="G2" i="1"/>
  <c r="G3" i="1" s="1"/>
  <c r="G4" i="1" s="1"/>
  <c r="D2" i="1"/>
  <c r="D3" i="1" s="1"/>
  <c r="D4" i="1" s="1"/>
  <c r="D5" i="1" s="1"/>
  <c r="D6" i="1" s="1"/>
  <c r="D7" i="1" s="1"/>
  <c r="D8" i="1" s="1"/>
  <c r="D9" i="1" s="1"/>
  <c r="C2" i="1"/>
  <c r="D10" i="1" l="1"/>
  <c r="D11" i="1" s="1"/>
  <c r="D12" i="1" s="1"/>
  <c r="D13" i="1" s="1"/>
  <c r="D14" i="1" s="1"/>
  <c r="D15" i="1" s="1"/>
  <c r="D16" i="1" s="1"/>
</calcChain>
</file>

<file path=xl/sharedStrings.xml><?xml version="1.0" encoding="utf-8"?>
<sst xmlns="http://schemas.openxmlformats.org/spreadsheetml/2006/main" count="11" uniqueCount="11">
  <si>
    <t>x</t>
  </si>
  <si>
    <t>Tần suất</t>
  </si>
  <si>
    <t>P(X=x)</t>
  </si>
  <si>
    <t>F(x)=P(X≤x)</t>
  </si>
  <si>
    <t>Tham số</t>
  </si>
  <si>
    <t>Giá trị</t>
  </si>
  <si>
    <t>Kỳ vọng E(X)</t>
  </si>
  <si>
    <t>Phương sai Var(X)</t>
  </si>
  <si>
    <t>Độ lệch chuẩn SD(X)</t>
  </si>
  <si>
    <t>Trung vị (Median)</t>
  </si>
  <si>
    <t>Mốt (Mode)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</si>
</sst>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tabSelected="1" workbookViewId="0">
      <selection activeCell="G5" sqref="G5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5</v>
      </c>
    </row>
    <row r="2" spans="1:7" x14ac:dyDescent="0.3">
      <c r="A2">
        <v>0</v>
      </c>
      <c r="B2">
        <v>4</v>
      </c>
      <c r="C2">
        <f t="shared" ref="C2:C9" si="0">B2/SUM($B$2:$B$16)</f>
        <v>0.02</v>
      </c>
      <c r="D2">
        <f>C2</f>
        <v>0.02</v>
      </c>
      <c r="F2" t="s">
        <v>6</v>
      </c>
      <c r="G2">
        <f>SUMPRODUCT(A2:A16,C2:C16)</f>
        <v>5.705000000000001</v>
      </c>
    </row>
    <row r="3" spans="1:7" x14ac:dyDescent="0.3">
      <c r="A3">
        <v>1</v>
      </c>
      <c r="B3">
        <v>8</v>
      </c>
      <c r="C3">
        <f t="shared" si="0"/>
        <v>0.04</v>
      </c>
      <c r="D3">
        <f t="shared" ref="D3:D9" si="1">D2+C3</f>
        <v>0.06</v>
      </c>
      <c r="F3" t="s">
        <v>7</v>
      </c>
      <c r="G3">
        <f>SUMPRODUCT((A2:A16-G2)^2,C2:C16)</f>
        <v>7.3679749999999995</v>
      </c>
    </row>
    <row r="4" spans="1:7" x14ac:dyDescent="0.3">
      <c r="A4">
        <v>2</v>
      </c>
      <c r="B4">
        <v>14</v>
      </c>
      <c r="C4">
        <f t="shared" si="0"/>
        <v>7.0000000000000007E-2</v>
      </c>
      <c r="D4">
        <f t="shared" si="1"/>
        <v>0.13</v>
      </c>
      <c r="F4" t="s">
        <v>8</v>
      </c>
      <c r="G4">
        <f>SQRT(G3)</f>
        <v>2.714401407308801</v>
      </c>
    </row>
    <row r="5" spans="1:7" x14ac:dyDescent="0.3">
      <c r="A5">
        <v>3</v>
      </c>
      <c r="B5">
        <v>18</v>
      </c>
      <c r="C5">
        <f t="shared" si="0"/>
        <v>0.09</v>
      </c>
      <c r="D5">
        <f t="shared" si="1"/>
        <v>0.22</v>
      </c>
      <c r="F5" t="s">
        <v>9</v>
      </c>
      <c r="G5">
        <f>INDEX(A2:A16,MATCH(0.5000001,D2:D16,1)+1)</f>
        <v>6</v>
      </c>
    </row>
    <row r="6" spans="1:7" x14ac:dyDescent="0.3">
      <c r="A6">
        <v>4</v>
      </c>
      <c r="B6">
        <v>22</v>
      </c>
      <c r="C6">
        <f t="shared" si="0"/>
        <v>0.11</v>
      </c>
      <c r="D6">
        <f t="shared" si="1"/>
        <v>0.33</v>
      </c>
      <c r="F6" t="s">
        <v>10</v>
      </c>
      <c r="G6">
        <f>INDEX(A2:A16,MATCH(MAX(B2:B16),B2:B16,0))</f>
        <v>6</v>
      </c>
    </row>
    <row r="7" spans="1:7" x14ac:dyDescent="0.3">
      <c r="A7">
        <v>5</v>
      </c>
      <c r="B7">
        <v>28</v>
      </c>
      <c r="C7">
        <f t="shared" si="0"/>
        <v>0.14000000000000001</v>
      </c>
      <c r="D7">
        <f t="shared" si="1"/>
        <v>0.47000000000000003</v>
      </c>
    </row>
    <row r="8" spans="1:7" x14ac:dyDescent="0.3">
      <c r="A8">
        <v>6</v>
      </c>
      <c r="B8">
        <v>30</v>
      </c>
      <c r="C8">
        <f t="shared" si="0"/>
        <v>0.15</v>
      </c>
      <c r="D8">
        <f t="shared" si="1"/>
        <v>0.62</v>
      </c>
    </row>
    <row r="9" spans="1:7" x14ac:dyDescent="0.3">
      <c r="A9">
        <v>7</v>
      </c>
      <c r="B9">
        <v>26</v>
      </c>
      <c r="C9">
        <f t="shared" si="0"/>
        <v>0.13</v>
      </c>
      <c r="D9">
        <f t="shared" si="1"/>
        <v>0.75</v>
      </c>
    </row>
    <row r="10" spans="1:7" x14ac:dyDescent="0.3">
      <c r="A10">
        <v>8</v>
      </c>
      <c r="B10">
        <v>20</v>
      </c>
      <c r="C10">
        <f t="shared" ref="C10:C16" si="2">B10/SUM($B$2:$B$16)</f>
        <v>0.1</v>
      </c>
      <c r="D10">
        <f>D9+C10</f>
        <v>0.85</v>
      </c>
    </row>
    <row r="11" spans="1:7" x14ac:dyDescent="0.3">
      <c r="A11">
        <v>9</v>
      </c>
      <c r="B11">
        <v>14</v>
      </c>
      <c r="C11">
        <f t="shared" si="2"/>
        <v>7.0000000000000007E-2</v>
      </c>
      <c r="D11">
        <f t="shared" ref="D11:D16" si="3">D10+C11</f>
        <v>0.91999999999999993</v>
      </c>
    </row>
    <row r="12" spans="1:7" x14ac:dyDescent="0.3">
      <c r="A12">
        <v>10</v>
      </c>
      <c r="B12">
        <v>8</v>
      </c>
      <c r="C12">
        <f t="shared" si="2"/>
        <v>0.04</v>
      </c>
      <c r="D12">
        <f t="shared" si="3"/>
        <v>0.96</v>
      </c>
    </row>
    <row r="13" spans="1:7" x14ac:dyDescent="0.3">
      <c r="A13">
        <v>11</v>
      </c>
      <c r="B13">
        <v>4</v>
      </c>
      <c r="C13">
        <f t="shared" si="2"/>
        <v>0.02</v>
      </c>
      <c r="D13">
        <f t="shared" si="3"/>
        <v>0.98</v>
      </c>
    </row>
    <row r="14" spans="1:7" x14ac:dyDescent="0.3">
      <c r="A14">
        <v>12</v>
      </c>
      <c r="B14">
        <v>2</v>
      </c>
      <c r="C14">
        <f t="shared" si="2"/>
        <v>0.01</v>
      </c>
      <c r="D14">
        <f t="shared" si="3"/>
        <v>0.99</v>
      </c>
    </row>
    <row r="15" spans="1:7" x14ac:dyDescent="0.3">
      <c r="A15">
        <v>13</v>
      </c>
      <c r="B15">
        <v>1</v>
      </c>
      <c r="C15">
        <f t="shared" si="2"/>
        <v>5.0000000000000001E-3</v>
      </c>
      <c r="D15">
        <f t="shared" si="3"/>
        <v>0.995</v>
      </c>
    </row>
    <row r="16" spans="1:7" x14ac:dyDescent="0.3">
      <c r="A16">
        <v>14</v>
      </c>
      <c r="B16">
        <v>1</v>
      </c>
      <c r="C16">
        <f t="shared" si="2"/>
        <v>5.0000000000000001E-3</v>
      </c>
      <c r="D16">
        <f t="shared" si="3"/>
        <v>1</v>
      </c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Phan phoi 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cp:revision>2</cp:revision>
  <dcterms:created xsi:type="dcterms:W3CDTF">2025-12-13T04:21:10Z</dcterms:created>
  <dcterms:modified xsi:type="dcterms:W3CDTF">2025-12-13T12:53:22Z</dcterms:modified>
</cp:coreProperties>
</file>